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Filtering_cascade" sheetId="2" state="visible" r:id="rId4"/>
    <sheet name="Removed_compounds" sheetId="3" state="visible" r:id="rId5"/>
    <sheet name="Final_associations" sheetId="4" state="visible" r:id="rId6"/>
    <sheet name="PharmacoDB_statistics" sheetId="5" state="visible" r:id="rId7"/>
    <sheet name="PharmacoDB_cell_lin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<sst xmlns="http://schemas.openxmlformats.org/spreadsheetml/2006/main" count="521" uniqueCount="161">
  <si>
    <t xml:space="preserve">Notes</t>
  </si>
  <si>
    <t xml:space="preserve">Supplementary File S2. Pharmacological mapping: filtering cascade, removed compounds, final drug-target associations and pharmacogenomic cross-validation.</t>
  </si>
  <si>
    <t xml:space="preserve">Sheets: Filtering_cascade; Removed_compounds; Final_associations; PharmacoDB_statistics; PharmacoDB_cell_lines.</t>
  </si>
  <si>
    <t xml:space="preserve">Compounds are counted both as names and as unique ChEMBL identifiers because several names share one identifier (e.g. paclitaxel and nab-paclitaxel).</t>
  </si>
  <si>
    <t xml:space="preserve">Final_associations: ChEMBL release 37 (DOI 10.6019/CHEMBL.database.37); fields as in GitHub Table 4.</t>
  </si>
  <si>
    <t xml:space="preserve">PharmacoDB: AAC = area above the dose-response curve; higher values indicate greater sensitivity. Source: PharmacoDB API; individual measurements in GitHub Table 7 (datasets with data: CTRPv2, FIMM, GDSC1, GDSC2, gCSI, NCI60, PRISM).</t>
  </si>
  <si>
    <t xml:space="preserve">Unit of analysis: the cell line. Each line is summarized by the median AAC across its measurements; lines without a valid AAC for a compound are excluded (Bexarotene: 15 TNBC lines).</t>
  </si>
  <si>
    <t xml:space="preserve">Test: two-sided Mann-Whitney U, TNBC vs non-TNBC lines; Holm adjustment across the five compounds. Effect size: rank-biserial correlation 2U/(n1*n2)-1 (positive = TNBC more sensitive).</t>
  </si>
  <si>
    <t xml:space="preserve">95% CI of the difference in medians: percentile bootstrap, 10,000 resamples of lines within each group, random seed 0.</t>
  </si>
  <si>
    <t xml:space="preserve">Small groups (5-7 non-TNBC lines): results for compounds without a significant difference are inconclusive and do not demonstrate absence of an effect.</t>
  </si>
  <si>
    <t xml:space="preserve">Counts verified on the repository files (S1_D.xlsx, Drugs_1.xlsx, Table 4, Table 7) on 6 October 2026.</t>
  </si>
  <si>
    <t xml:space="preserve">Step</t>
  </si>
  <si>
    <t xml:space="preserve">Description</t>
  </si>
  <si>
    <t xml:space="preserve">Associations</t>
  </si>
  <si>
    <t xml:space="preserve">Compounds (names)</t>
  </si>
  <si>
    <t xml:space="preserve">Compounds (unique ChEMBL IDs)</t>
  </si>
  <si>
    <t xml:space="preserve">Associations removed vs previous step</t>
  </si>
  <si>
    <t xml:space="preserve">Curated drug-target list with ChEMBL annotation (S1_D.xlsx; output of py_8: output_drugs.xlsx)</t>
  </si>
  <si>
    <t xml:space="preserve">n/a</t>
  </si>
  <si>
    <t xml:space="preserve">All associations; action annotated by py_8.</t>
  </si>
  <si>
    <t xml:space="preserve">Associations with a defined activating or inhibitory action (inhibition 3,446; activation 475)</t>
  </si>
  <si>
    <t xml:space="preserve">Excluded: 'Mechanism Not Found' 1,902; 'Other/Binding' 217; 'Mixed/Complex' 110 (total 2,229).</t>
  </si>
  <si>
    <t xml:space="preserve">After removal of Bortezomib (86 inhibitory associations) during manual curation</t>
  </si>
  <si>
    <t xml:space="preserve">Criterion for this removal was not recorded. This is the database described as '3,835 associations across 178 compounds' (178 = unique ChEMBL identifiers).</t>
  </si>
  <si>
    <t xml:space="preserve">After removal of diethylstilbestrol and dexamethasone (119 associations) by manual safety review (= Drugs_1.xlsx)</t>
  </si>
  <si>
    <t xml:space="preserve">Search space supplied to the ASP solver (Algorithm 3). 3,360 inhibition and 356 activation associations.</t>
  </si>
  <si>
    <t xml:space="preserve">Associations selected by the ASP solver in at least one of the 41 models (final associations, sheet Final_associations)</t>
  </si>
  <si>
    <t xml:space="preserve">Directionally consistent associations forming part of the selected regimen in at least one model.</t>
  </si>
  <si>
    <t xml:space="preserve">Compound</t>
  </si>
  <si>
    <t xml:space="preserve">ChEMBL_ID</t>
  </si>
  <si>
    <t xml:space="preserve">Action</t>
  </si>
  <si>
    <t xml:space="preserve">Reason / criterion</t>
  </si>
  <si>
    <t xml:space="preserve">Bortezomib</t>
  </si>
  <si>
    <t xml:space="preserve">CHEMBL325041</t>
  </si>
  <si>
    <t xml:space="preserve">Inhibition</t>
  </si>
  <si>
    <t xml:space="preserve">Manual curation</t>
  </si>
  <si>
    <t xml:space="preserve">Criterion not recorded.</t>
  </si>
  <si>
    <t xml:space="preserve">Targets include proteasome subunits and 12 network nodes (AR, BCL2, CCND1, E2F1, NFE2L2, NFKB1, PIK3CA, PLAT, PMAIP1, PSMD4, TP53, XIAP). In none of the 41 reported Driver Node sets is a Bortezomib target a Driver at state 0, so it would not have been directionally consistent with any reported solution.</t>
  </si>
  <si>
    <t xml:space="preserve">Diethylstilbestrol</t>
  </si>
  <si>
    <t xml:space="preserve">CHEMBL411</t>
  </si>
  <si>
    <t xml:space="preserve">Activation</t>
  </si>
  <si>
    <t xml:space="preserve">Manual safety review</t>
  </si>
  <si>
    <t xml:space="preserve">Synthetic estrogen with carcinogenic risk in breast tissue (contraindicated).</t>
  </si>
  <si>
    <t xml:space="preserve">Proposed by the unconstrained solver.</t>
  </si>
  <si>
    <t xml:space="preserve">Dexamethasone</t>
  </si>
  <si>
    <t xml:space="preserve">CHEMBL384467</t>
  </si>
  <si>
    <t xml:space="preserve">Glucocorticoid receptor agonist reported to promote chemoresistance in TNBC (contraindicated).</t>
  </si>
  <si>
    <t xml:space="preserve">Network_Gene</t>
  </si>
  <si>
    <t xml:space="preserve">Molecular_Target</t>
  </si>
  <si>
    <t xml:space="preserve">Drug_Name</t>
  </si>
  <si>
    <t xml:space="preserve">ChEMBL_ID_Drug</t>
  </si>
  <si>
    <t xml:space="preserve">ChEMBL_ID_Target</t>
  </si>
  <si>
    <t xml:space="preserve">Database_Version</t>
  </si>
  <si>
    <t xml:space="preserve">Access_Date</t>
  </si>
  <si>
    <t xml:space="preserve">Target_Type</t>
  </si>
  <si>
    <t xml:space="preserve">Organism</t>
  </si>
  <si>
    <t xml:space="preserve">Mechanism_Direction</t>
  </si>
  <si>
    <t xml:space="preserve">Directness_of_Interaction</t>
  </si>
  <si>
    <t xml:space="preserve">Evidence_Source_ChEMBL</t>
  </si>
  <si>
    <t xml:space="preserve">Evidence_Source_Manuscript_Refs</t>
  </si>
  <si>
    <t xml:space="preserve">Approval_Status</t>
  </si>
  <si>
    <t xml:space="preserve">Boolean_Action_Used_In_Model</t>
  </si>
  <si>
    <t xml:space="preserve">Gene_Symbol_Match</t>
  </si>
  <si>
    <t xml:space="preserve">CDKN1A</t>
  </si>
  <si>
    <t xml:space="preserve">DNA</t>
  </si>
  <si>
    <t xml:space="preserve">Cladribine</t>
  </si>
  <si>
    <t xml:space="preserve">CHEMBL1619</t>
  </si>
  <si>
    <t xml:space="preserve">CHEMBL2311221</t>
  </si>
  <si>
    <t xml:space="preserve">ChEMBL release 37 (DOI 10.6019/CHEMBL.database.37)</t>
  </si>
  <si>
    <t xml:space="preserve">2026-08-27</t>
  </si>
  <si>
    <t xml:space="preserve">NUCLEIC-ACID</t>
  </si>
  <si>
    <t xml:space="preserve">Homo sapiens</t>
  </si>
  <si>
    <t xml:space="preserve">INHIBITOR</t>
  </si>
  <si>
    <t xml:space="preserve">Direct binding</t>
  </si>
  <si>
    <t xml:space="preserve">http://dailymed.nlm.nih.gov/dailymed/lookup.cfm?setid=a2592a9b-bca6-4a5a-89c2-855a0634d5fe</t>
  </si>
  <si>
    <t xml:space="preserve">[34]</t>
  </si>
  <si>
    <t xml:space="preserve">FDA Approved (Max Phase 4)</t>
  </si>
  <si>
    <t xml:space="preserve">Fallback (verify manually)</t>
  </si>
  <si>
    <t xml:space="preserve">HIF1A</t>
  </si>
  <si>
    <t xml:space="preserve">Tubulin</t>
  </si>
  <si>
    <t xml:space="preserve">Vincristine Liposome</t>
  </si>
  <si>
    <t xml:space="preserve">CHEMBL501867</t>
  </si>
  <si>
    <t xml:space="preserve">CHEMBL2095182</t>
  </si>
  <si>
    <t xml:space="preserve">PROTEIN COMPLEX GROUP</t>
  </si>
  <si>
    <t xml:space="preserve">http://dailymed.nlm.nih.gov/dailymed/lookup.cfm?setid=01cee93f-3ab9-44fa-8c9a-dd5958fd2db9</t>
  </si>
  <si>
    <t xml:space="preserve">[37-40]</t>
  </si>
  <si>
    <t xml:space="preserve">PPARD</t>
  </si>
  <si>
    <t xml:space="preserve">Dactinomycin</t>
  </si>
  <si>
    <t xml:space="preserve">CHEMBL1554</t>
  </si>
  <si>
    <t xml:space="preserve">http://www.accessdata.fda.gov/drugsatfda_docs/label/2012/050682s029s030lbl.pdf</t>
  </si>
  <si>
    <t xml:space="preserve">[41,42]</t>
  </si>
  <si>
    <t xml:space="preserve">RXRA</t>
  </si>
  <si>
    <t xml:space="preserve">Retinoid X receptor</t>
  </si>
  <si>
    <t xml:space="preserve">Bexarotene</t>
  </si>
  <si>
    <t xml:space="preserve">CHEMBL1023</t>
  </si>
  <si>
    <t xml:space="preserve">CHEMBL2363070</t>
  </si>
  <si>
    <t xml:space="preserve">PROTEIN FAMILY</t>
  </si>
  <si>
    <t xml:space="preserve">AGONIST</t>
  </si>
  <si>
    <t xml:space="preserve">http://www.accessdata.fda.gov/drugsatfda_docs/label/2015/021055s010lbl.pdf</t>
  </si>
  <si>
    <t xml:space="preserve">[46,47]</t>
  </si>
  <si>
    <t xml:space="preserve">Exact</t>
  </si>
  <si>
    <t xml:space="preserve">Retinoic acid receptor</t>
  </si>
  <si>
    <t xml:space="preserve">Tretinoin</t>
  </si>
  <si>
    <t xml:space="preserve">CHEMBL38</t>
  </si>
  <si>
    <t xml:space="preserve">CHEMBL2363069</t>
  </si>
  <si>
    <t xml:space="preserve">http://dailymed.nlm.nih.gov/dailymed/lookup.cfm?setid=b6b45969-a64a-4ce3-b3b6-157d2568a301</t>
  </si>
  <si>
    <t xml:space="preserve">[48,49]</t>
  </si>
  <si>
    <t xml:space="preserve">TGFB1</t>
  </si>
  <si>
    <t xml:space="preserve">Interferon alpha/beta receptor</t>
  </si>
  <si>
    <t xml:space="preserve">Interferon Alfa-2b</t>
  </si>
  <si>
    <t xml:space="preserve">CHEMBL1201558</t>
  </si>
  <si>
    <t xml:space="preserve">CHEMBL2364170</t>
  </si>
  <si>
    <t xml:space="preserve">PROTEIN COMPLEX</t>
  </si>
  <si>
    <t xml:space="preserve">http://dailymed.nlm.nih.gov/dailymed/lookup.cfm?setid=fd653d74-48ab-49e4-a42d-ec1cbc59badb</t>
  </si>
  <si>
    <t xml:space="preserve">[49-52]</t>
  </si>
  <si>
    <t xml:space="preserve">Lines TNBC</t>
  </si>
  <si>
    <t xml:space="preserve">Lines non-TNBC</t>
  </si>
  <si>
    <t xml:space="preserve">Median AAC TNBC</t>
  </si>
  <si>
    <t xml:space="preserve">Q1 TNBC</t>
  </si>
  <si>
    <t xml:space="preserve">Q3 TNBC</t>
  </si>
  <si>
    <t xml:space="preserve">Median AAC non-TNBC</t>
  </si>
  <si>
    <t xml:space="preserve">Q1 non-TNBC</t>
  </si>
  <si>
    <t xml:space="preserve">Q3 non-TNBC</t>
  </si>
  <si>
    <t xml:space="preserve">Difference in medians (TNBC - non-TNBC)</t>
  </si>
  <si>
    <t xml:space="preserve">95% CI low</t>
  </si>
  <si>
    <t xml:space="preserve">95% CI high</t>
  </si>
  <si>
    <t xml:space="preserve">Rank-biserial correlation</t>
  </si>
  <si>
    <t xml:space="preserve">P (Mann-Whitney, two-sided)</t>
  </si>
  <si>
    <t xml:space="preserve">P (Holm-adjusted, 5 compounds)</t>
  </si>
  <si>
    <t xml:space="preserve">Vincristine</t>
  </si>
  <si>
    <t xml:space="preserve">Drug</t>
  </si>
  <si>
    <t xml:space="preserve">Group</t>
  </si>
  <si>
    <t xml:space="preserve">Cell_Line</t>
  </si>
  <si>
    <t xml:space="preserve">Measurements</t>
  </si>
  <si>
    <t xml:space="preserve">Datasets</t>
  </si>
  <si>
    <t xml:space="preserve">Median_AAC</t>
  </si>
  <si>
    <t xml:space="preserve">TNBC</t>
  </si>
  <si>
    <t xml:space="preserve">BT-20</t>
  </si>
  <si>
    <t xml:space="preserve">BT-549</t>
  </si>
  <si>
    <t xml:space="preserve">CAL-120</t>
  </si>
  <si>
    <t xml:space="preserve">CAL-51</t>
  </si>
  <si>
    <t xml:space="preserve">HCC1143</t>
  </si>
  <si>
    <t xml:space="preserve">HCC1187</t>
  </si>
  <si>
    <t xml:space="preserve">HCC1806</t>
  </si>
  <si>
    <t xml:space="preserve">HCC1937</t>
  </si>
  <si>
    <t xml:space="preserve">HCC38</t>
  </si>
  <si>
    <t xml:space="preserve">HDQ-P1</t>
  </si>
  <si>
    <t xml:space="preserve">Hs 578T</t>
  </si>
  <si>
    <t xml:space="preserve">MDA-MB-157</t>
  </si>
  <si>
    <t xml:space="preserve">MDA-MB-231</t>
  </si>
  <si>
    <t xml:space="preserve">MDA-MB-436</t>
  </si>
  <si>
    <t xml:space="preserve">MDA-MB-468</t>
  </si>
  <si>
    <t xml:space="preserve">non-TNBC</t>
  </si>
  <si>
    <t xml:space="preserve">CAMA-1</t>
  </si>
  <si>
    <t xml:space="preserve">HCC1419</t>
  </si>
  <si>
    <t xml:space="preserve">HCC1428</t>
  </si>
  <si>
    <t xml:space="preserve">MCF-7</t>
  </si>
  <si>
    <t xml:space="preserve">SK-BR-3</t>
  </si>
  <si>
    <t xml:space="preserve">T-47D</t>
  </si>
  <si>
    <t xml:space="preserve">ZR-75-1</t>
  </si>
  <si>
    <t xml:space="preserve">HCC70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</si>
</sst>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23.8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23.8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5.3"/>
    <col collapsed="false" customWidth="true" hidden="false" outlineLevel="0" max="5" min="5" style="0" width="26.1"/>
    <col collapsed="false" customWidth="true" hidden="false" outlineLevel="0" max="6" min="6" style="0" width="33.3"/>
    <col collapsed="false" customWidth="true" hidden="false" outlineLevel="0" max="7" min="7" style="0" width="70"/>
  </cols>
  <sheetData>
    <row r="1" customFormat="false" ht="23.8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0</v>
      </c>
    </row>
    <row r="2" customFormat="false" ht="23.85" hidden="false" customHeight="false" outlineLevel="0" collapsed="false">
      <c r="A2" s="2" t="n">
        <v>1</v>
      </c>
      <c r="B2" s="2" t="s">
        <v>17</v>
      </c>
      <c r="C2" s="2" t="n">
        <v>6150</v>
      </c>
      <c r="D2" s="2" t="n">
        <v>302</v>
      </c>
      <c r="E2" s="2" t="n">
        <v>296</v>
      </c>
      <c r="F2" s="2" t="s">
        <v>18</v>
      </c>
      <c r="G2" s="2" t="s">
        <v>19</v>
      </c>
    </row>
    <row r="3" customFormat="false" ht="23.85" hidden="false" customHeight="false" outlineLevel="0" collapsed="false">
      <c r="A3" s="2" t="n">
        <v>2</v>
      </c>
      <c r="B3" s="2" t="s">
        <v>20</v>
      </c>
      <c r="C3" s="2" t="n">
        <v>3921</v>
      </c>
      <c r="D3" s="2" t="n">
        <v>182</v>
      </c>
      <c r="E3" s="2" t="n">
        <v>179</v>
      </c>
      <c r="F3" s="2" t="n">
        <f aca="false">C2-C3</f>
        <v>2229</v>
      </c>
      <c r="G3" s="2" t="s">
        <v>21</v>
      </c>
    </row>
    <row r="4" customFormat="false" ht="23.85" hidden="false" customHeight="false" outlineLevel="0" collapsed="false">
      <c r="A4" s="2" t="n">
        <v>3</v>
      </c>
      <c r="B4" s="2" t="s">
        <v>22</v>
      </c>
      <c r="C4" s="2" t="n">
        <v>3835</v>
      </c>
      <c r="D4" s="2" t="n">
        <v>181</v>
      </c>
      <c r="E4" s="2" t="n">
        <v>178</v>
      </c>
      <c r="F4" s="2" t="n">
        <f aca="false">C3-C4</f>
        <v>86</v>
      </c>
      <c r="G4" s="2" t="s">
        <v>23</v>
      </c>
    </row>
    <row r="5" customFormat="false" ht="23.85" hidden="false" customHeight="false" outlineLevel="0" collapsed="false">
      <c r="A5" s="2" t="n">
        <v>4</v>
      </c>
      <c r="B5" s="2" t="s">
        <v>24</v>
      </c>
      <c r="C5" s="2" t="n">
        <v>3716</v>
      </c>
      <c r="D5" s="2" t="n">
        <v>179</v>
      </c>
      <c r="E5" s="2" t="n">
        <v>176</v>
      </c>
      <c r="F5" s="2" t="n">
        <f aca="false">C4-C5</f>
        <v>119</v>
      </c>
      <c r="G5" s="2" t="s">
        <v>25</v>
      </c>
    </row>
    <row r="6" customFormat="false" ht="23.85" hidden="false" customHeight="false" outlineLevel="0" collapsed="false">
      <c r="A6" s="2" t="n">
        <v>5</v>
      </c>
      <c r="B6" s="2" t="s">
        <v>26</v>
      </c>
      <c r="C6" s="2" t="n">
        <v>7</v>
      </c>
      <c r="D6" s="2" t="n">
        <v>6</v>
      </c>
      <c r="E6" s="2" t="n">
        <v>6</v>
      </c>
      <c r="F6" s="2" t="s">
        <v>18</v>
      </c>
      <c r="G6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2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7" min="6" style="0" width="70"/>
  </cols>
  <sheetData>
    <row r="1" customFormat="false" ht="15" hidden="false" customHeight="false" outlineLevel="0" collapsed="false">
      <c r="A1" s="1" t="s">
        <v>28</v>
      </c>
      <c r="B1" s="1" t="s">
        <v>29</v>
      </c>
      <c r="C1" s="1" t="s">
        <v>13</v>
      </c>
      <c r="D1" s="1" t="s">
        <v>30</v>
      </c>
      <c r="E1" s="1" t="s">
        <v>11</v>
      </c>
      <c r="F1" s="1" t="s">
        <v>31</v>
      </c>
      <c r="G1" s="1" t="s">
        <v>0</v>
      </c>
    </row>
    <row r="2" customFormat="false" ht="46.25" hidden="false" customHeight="false" outlineLevel="0" collapsed="false">
      <c r="A2" s="2" t="s">
        <v>32</v>
      </c>
      <c r="B2" s="2" t="s">
        <v>33</v>
      </c>
      <c r="C2" s="2" t="n">
        <v>86</v>
      </c>
      <c r="D2" s="2" t="s">
        <v>34</v>
      </c>
      <c r="E2" s="2" t="s">
        <v>35</v>
      </c>
      <c r="F2" s="2" t="s">
        <v>36</v>
      </c>
      <c r="G2" s="2" t="s">
        <v>37</v>
      </c>
    </row>
    <row r="3" customFormat="false" ht="15" hidden="false" customHeight="false" outlineLevel="0" collapsed="false">
      <c r="A3" s="2" t="s">
        <v>38</v>
      </c>
      <c r="B3" s="2" t="s">
        <v>39</v>
      </c>
      <c r="C3" s="2" t="n">
        <v>33</v>
      </c>
      <c r="D3" s="2" t="s">
        <v>40</v>
      </c>
      <c r="E3" s="2" t="s">
        <v>41</v>
      </c>
      <c r="F3" s="2" t="s">
        <v>42</v>
      </c>
      <c r="G3" s="2" t="s">
        <v>43</v>
      </c>
    </row>
    <row r="4" customFormat="false" ht="23.85" hidden="false" customHeight="false" outlineLevel="0" collapsed="false">
      <c r="A4" s="2" t="s">
        <v>44</v>
      </c>
      <c r="B4" s="2" t="s">
        <v>45</v>
      </c>
      <c r="C4" s="2" t="n">
        <v>86</v>
      </c>
      <c r="D4" s="2" t="s">
        <v>40</v>
      </c>
      <c r="E4" s="2" t="s">
        <v>41</v>
      </c>
      <c r="F4" s="2" t="s">
        <v>46</v>
      </c>
      <c r="G4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  <col collapsed="false" customWidth="true" hidden="false" outlineLevel="0" max="3" min="3" style="0" width="18"/>
    <col collapsed="false" customWidth="true" hidden="false" outlineLevel="0" max="4" min="4" style="0" width="12.61"/>
    <col collapsed="false" customWidth="true" hidden="false" outlineLevel="0" max="5" min="5" style="0" width="14.4"/>
    <col collapsed="false" customWidth="true" hidden="false" outlineLevel="0" max="6" min="6" style="0" width="45"/>
    <col collapsed="false" customWidth="true" hidden="false" outlineLevel="0" max="7" min="7" style="0" width="12"/>
    <col collapsed="false" customWidth="true" hidden="false" outlineLevel="0" max="8" min="8" style="0" width="18.9"/>
    <col collapsed="false" customWidth="true" hidden="false" outlineLevel="0" max="9" min="9" style="0" width="12"/>
    <col collapsed="false" customWidth="true" hidden="false" outlineLevel="0" max="10" min="10" style="0" width="17.1"/>
    <col collapsed="false" customWidth="true" hidden="false" outlineLevel="0" max="11" min="11" style="0" width="22.5"/>
    <col collapsed="false" customWidth="true" hidden="false" outlineLevel="0" max="12" min="12" style="0" width="70"/>
    <col collapsed="false" customWidth="true" hidden="false" outlineLevel="0" max="13" min="13" style="0" width="27.9"/>
    <col collapsed="false" customWidth="true" hidden="false" outlineLevel="0" max="14" min="14" style="0" width="23.4"/>
    <col collapsed="false" customWidth="true" hidden="false" outlineLevel="0" max="15" min="15" style="0" width="25.2"/>
    <col collapsed="false" customWidth="true" hidden="false" outlineLevel="0" max="16" min="16" style="0" width="23.4"/>
  </cols>
  <sheetData>
    <row r="1" customFormat="false" ht="23.8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</row>
    <row r="2" customFormat="false" ht="23.85" hidden="false" customHeight="false" outlineLevel="0" collapsed="false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  <c r="N2" s="2" t="s">
        <v>76</v>
      </c>
      <c r="O2" s="2" t="s">
        <v>34</v>
      </c>
      <c r="P2" s="2" t="s">
        <v>77</v>
      </c>
    </row>
    <row r="3" customFormat="false" ht="23.85" hidden="false" customHeight="false" outlineLevel="0" collapsed="false">
      <c r="A3" s="2" t="s">
        <v>78</v>
      </c>
      <c r="B3" s="2" t="s">
        <v>79</v>
      </c>
      <c r="C3" s="2" t="s">
        <v>80</v>
      </c>
      <c r="D3" s="2" t="s">
        <v>81</v>
      </c>
      <c r="E3" s="2" t="s">
        <v>82</v>
      </c>
      <c r="F3" s="2" t="s">
        <v>68</v>
      </c>
      <c r="G3" s="2" t="s">
        <v>69</v>
      </c>
      <c r="H3" s="2" t="s">
        <v>83</v>
      </c>
      <c r="I3" s="2" t="s">
        <v>71</v>
      </c>
      <c r="J3" s="2" t="s">
        <v>72</v>
      </c>
      <c r="K3" s="2" t="s">
        <v>73</v>
      </c>
      <c r="L3" s="2" t="s">
        <v>84</v>
      </c>
      <c r="M3" s="2" t="s">
        <v>85</v>
      </c>
      <c r="N3" s="2" t="s">
        <v>76</v>
      </c>
      <c r="O3" s="2" t="s">
        <v>34</v>
      </c>
      <c r="P3" s="2" t="s">
        <v>77</v>
      </c>
    </row>
    <row r="4" customFormat="false" ht="23.85" hidden="false" customHeight="false" outlineLevel="0" collapsed="false">
      <c r="A4" s="2" t="s">
        <v>86</v>
      </c>
      <c r="B4" s="2" t="s">
        <v>64</v>
      </c>
      <c r="C4" s="2" t="s">
        <v>87</v>
      </c>
      <c r="D4" s="2" t="s">
        <v>88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  <c r="L4" s="2" t="s">
        <v>89</v>
      </c>
      <c r="M4" s="2" t="s">
        <v>90</v>
      </c>
      <c r="N4" s="2" t="s">
        <v>76</v>
      </c>
      <c r="O4" s="2" t="s">
        <v>34</v>
      </c>
      <c r="P4" s="2" t="s">
        <v>77</v>
      </c>
    </row>
    <row r="5" customFormat="false" ht="23.85" hidden="false" customHeight="false" outlineLevel="0" collapsed="false">
      <c r="A5" s="2" t="s">
        <v>91</v>
      </c>
      <c r="B5" s="2" t="s">
        <v>92</v>
      </c>
      <c r="C5" s="2" t="s">
        <v>93</v>
      </c>
      <c r="D5" s="2" t="s">
        <v>94</v>
      </c>
      <c r="E5" s="2" t="s">
        <v>95</v>
      </c>
      <c r="F5" s="2" t="s">
        <v>68</v>
      </c>
      <c r="G5" s="2" t="s">
        <v>69</v>
      </c>
      <c r="H5" s="2" t="s">
        <v>96</v>
      </c>
      <c r="I5" s="2" t="s">
        <v>71</v>
      </c>
      <c r="J5" s="2" t="s">
        <v>97</v>
      </c>
      <c r="K5" s="2" t="s">
        <v>73</v>
      </c>
      <c r="L5" s="2" t="s">
        <v>98</v>
      </c>
      <c r="M5" s="2" t="s">
        <v>99</v>
      </c>
      <c r="N5" s="2" t="s">
        <v>76</v>
      </c>
      <c r="O5" s="2" t="s">
        <v>40</v>
      </c>
      <c r="P5" s="2" t="s">
        <v>100</v>
      </c>
    </row>
    <row r="6" customFormat="false" ht="23.85" hidden="false" customHeight="false" outlineLevel="0" collapsed="false">
      <c r="A6" s="2" t="s">
        <v>91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68</v>
      </c>
      <c r="G6" s="2" t="s">
        <v>69</v>
      </c>
      <c r="H6" s="2" t="s">
        <v>96</v>
      </c>
      <c r="I6" s="2" t="s">
        <v>71</v>
      </c>
      <c r="J6" s="2" t="s">
        <v>97</v>
      </c>
      <c r="K6" s="2" t="s">
        <v>73</v>
      </c>
      <c r="L6" s="2" t="s">
        <v>105</v>
      </c>
      <c r="M6" s="2" t="s">
        <v>106</v>
      </c>
      <c r="N6" s="2" t="s">
        <v>76</v>
      </c>
      <c r="O6" s="2" t="s">
        <v>40</v>
      </c>
      <c r="P6" s="2" t="s">
        <v>77</v>
      </c>
    </row>
    <row r="7" customFormat="false" ht="23.85" hidden="false" customHeight="false" outlineLevel="0" collapsed="false">
      <c r="A7" s="2" t="s">
        <v>107</v>
      </c>
      <c r="B7" s="2" t="s">
        <v>101</v>
      </c>
      <c r="C7" s="2" t="s">
        <v>102</v>
      </c>
      <c r="D7" s="2" t="s">
        <v>103</v>
      </c>
      <c r="E7" s="2" t="s">
        <v>104</v>
      </c>
      <c r="F7" s="2" t="s">
        <v>68</v>
      </c>
      <c r="G7" s="2" t="s">
        <v>69</v>
      </c>
      <c r="H7" s="2" t="s">
        <v>96</v>
      </c>
      <c r="I7" s="2" t="s">
        <v>71</v>
      </c>
      <c r="J7" s="2" t="s">
        <v>97</v>
      </c>
      <c r="K7" s="2" t="s">
        <v>73</v>
      </c>
      <c r="L7" s="2" t="s">
        <v>105</v>
      </c>
      <c r="M7" s="2" t="s">
        <v>106</v>
      </c>
      <c r="N7" s="2" t="s">
        <v>76</v>
      </c>
      <c r="O7" s="2" t="s">
        <v>40</v>
      </c>
      <c r="P7" s="2" t="s">
        <v>77</v>
      </c>
    </row>
    <row r="8" customFormat="false" ht="23.85" hidden="false" customHeight="false" outlineLevel="0" collapsed="false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68</v>
      </c>
      <c r="G8" s="2" t="s">
        <v>69</v>
      </c>
      <c r="H8" s="2" t="s">
        <v>112</v>
      </c>
      <c r="I8" s="2" t="s">
        <v>71</v>
      </c>
      <c r="J8" s="2" t="s">
        <v>97</v>
      </c>
      <c r="K8" s="2" t="s">
        <v>73</v>
      </c>
      <c r="L8" s="2" t="s">
        <v>113</v>
      </c>
      <c r="M8" s="2" t="s">
        <v>114</v>
      </c>
      <c r="N8" s="2" t="s">
        <v>76</v>
      </c>
      <c r="O8" s="2" t="s">
        <v>40</v>
      </c>
      <c r="P8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2.61"/>
    <col collapsed="false" customWidth="true" hidden="false" outlineLevel="0" max="4" min="4" style="0" width="13.5"/>
    <col collapsed="false" customWidth="true" hidden="false" outlineLevel="0" max="6" min="5" style="0" width="12"/>
    <col collapsed="false" customWidth="true" hidden="false" outlineLevel="0" max="7" min="7" style="0" width="17.1"/>
    <col collapsed="false" customWidth="true" hidden="false" outlineLevel="0" max="9" min="8" style="0" width="12"/>
    <col collapsed="false" customWidth="true" hidden="false" outlineLevel="0" max="10" min="10" style="0" width="35.1"/>
    <col collapsed="false" customWidth="true" hidden="false" outlineLevel="0" max="12" min="11" style="0" width="12"/>
    <col collapsed="false" customWidth="true" hidden="false" outlineLevel="0" max="13" min="13" style="0" width="22.5"/>
    <col collapsed="false" customWidth="true" hidden="false" outlineLevel="0" max="14" min="14" style="0" width="24.3"/>
    <col collapsed="false" customWidth="true" hidden="false" outlineLevel="0" max="15" min="15" style="0" width="27"/>
  </cols>
  <sheetData>
    <row r="1" customFormat="false" ht="23.85" hidden="false" customHeight="false" outlineLevel="0" collapsed="false">
      <c r="A1" s="1" t="s">
        <v>28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</row>
    <row r="2" customFormat="false" ht="15" hidden="false" customHeight="false" outlineLevel="0" collapsed="false">
      <c r="A2" s="2" t="s">
        <v>102</v>
      </c>
      <c r="B2" s="2" t="n">
        <v>16</v>
      </c>
      <c r="C2" s="2" t="n">
        <v>7</v>
      </c>
      <c r="D2" s="2" t="n">
        <v>0.028</v>
      </c>
      <c r="E2" s="2" t="n">
        <v>0.0026</v>
      </c>
      <c r="F2" s="2" t="n">
        <v>0.0851</v>
      </c>
      <c r="G2" s="2" t="n">
        <v>0.1509</v>
      </c>
      <c r="H2" s="2" t="n">
        <v>0.1166</v>
      </c>
      <c r="I2" s="2" t="n">
        <v>0.1769</v>
      </c>
      <c r="J2" s="2" t="n">
        <v>-0.1228</v>
      </c>
      <c r="K2" s="2" t="n">
        <v>-0.1706</v>
      </c>
      <c r="L2" s="2" t="n">
        <v>-0.0499</v>
      </c>
      <c r="M2" s="2" t="n">
        <v>-0.7321</v>
      </c>
      <c r="N2" s="2" t="n">
        <v>0.0067</v>
      </c>
      <c r="O2" s="2" t="n">
        <v>0.0334</v>
      </c>
    </row>
    <row r="3" customFormat="false" ht="15" hidden="false" customHeight="false" outlineLevel="0" collapsed="false">
      <c r="A3" s="2" t="s">
        <v>93</v>
      </c>
      <c r="B3" s="2" t="n">
        <v>15</v>
      </c>
      <c r="C3" s="2" t="n">
        <v>7</v>
      </c>
      <c r="D3" s="2" t="n">
        <v>0.0146</v>
      </c>
      <c r="E3" s="2" t="n">
        <v>0.0017</v>
      </c>
      <c r="F3" s="2" t="n">
        <v>0.0362</v>
      </c>
      <c r="G3" s="2" t="n">
        <v>0.0856</v>
      </c>
      <c r="H3" s="2" t="n">
        <v>0.0447</v>
      </c>
      <c r="I3" s="2" t="n">
        <v>0.0875</v>
      </c>
      <c r="J3" s="2" t="n">
        <v>-0.0711</v>
      </c>
      <c r="K3" s="2" t="n">
        <v>-0.085</v>
      </c>
      <c r="L3" s="2" t="n">
        <v>-0.012</v>
      </c>
      <c r="M3" s="2" t="n">
        <v>-0.6762</v>
      </c>
      <c r="N3" s="2" t="n">
        <v>0.0134</v>
      </c>
      <c r="O3" s="2" t="n">
        <v>0.0534</v>
      </c>
    </row>
    <row r="4" customFormat="false" ht="15" hidden="false" customHeight="false" outlineLevel="0" collapsed="false">
      <c r="A4" s="2" t="s">
        <v>87</v>
      </c>
      <c r="B4" s="2" t="n">
        <v>16</v>
      </c>
      <c r="C4" s="2" t="n">
        <v>5</v>
      </c>
      <c r="D4" s="2" t="n">
        <v>0.5924</v>
      </c>
      <c r="E4" s="2" t="n">
        <v>0.4722</v>
      </c>
      <c r="F4" s="2" t="n">
        <v>0.708</v>
      </c>
      <c r="G4" s="2" t="n">
        <v>0.5253</v>
      </c>
      <c r="H4" s="2" t="n">
        <v>0.3837</v>
      </c>
      <c r="I4" s="2" t="n">
        <v>0.6313</v>
      </c>
      <c r="J4" s="2" t="n">
        <v>0.067</v>
      </c>
      <c r="K4" s="2" t="n">
        <v>-0.139</v>
      </c>
      <c r="L4" s="2" t="n">
        <v>0.4075</v>
      </c>
      <c r="M4" s="2" t="n">
        <v>0.275</v>
      </c>
      <c r="N4" s="2" t="n">
        <v>0.398</v>
      </c>
      <c r="O4" s="2" t="n">
        <v>1</v>
      </c>
    </row>
    <row r="5" customFormat="false" ht="15" hidden="false" customHeight="false" outlineLevel="0" collapsed="false">
      <c r="A5" s="2" t="s">
        <v>129</v>
      </c>
      <c r="B5" s="2" t="n">
        <v>16</v>
      </c>
      <c r="C5" s="2" t="n">
        <v>7</v>
      </c>
      <c r="D5" s="2" t="n">
        <v>0.4141</v>
      </c>
      <c r="E5" s="2" t="n">
        <v>0.2442</v>
      </c>
      <c r="F5" s="2" t="n">
        <v>0.4971</v>
      </c>
      <c r="G5" s="2" t="n">
        <v>0.228</v>
      </c>
      <c r="H5" s="2" t="n">
        <v>0.2045</v>
      </c>
      <c r="I5" s="2" t="n">
        <v>0.4513</v>
      </c>
      <c r="J5" s="2" t="n">
        <v>0.1861</v>
      </c>
      <c r="K5" s="2" t="n">
        <v>-0.1705</v>
      </c>
      <c r="L5" s="2" t="n">
        <v>0.2702</v>
      </c>
      <c r="M5" s="2" t="n">
        <v>0.1786</v>
      </c>
      <c r="N5" s="2" t="n">
        <v>0.5346</v>
      </c>
      <c r="O5" s="2" t="n">
        <v>1</v>
      </c>
    </row>
    <row r="6" customFormat="false" ht="15" hidden="false" customHeight="false" outlineLevel="0" collapsed="false">
      <c r="A6" s="2" t="s">
        <v>65</v>
      </c>
      <c r="B6" s="2" t="n">
        <v>10</v>
      </c>
      <c r="C6" s="2" t="n">
        <v>5</v>
      </c>
      <c r="D6" s="2" t="n">
        <v>0.2733</v>
      </c>
      <c r="E6" s="2" t="n">
        <v>0.1953</v>
      </c>
      <c r="F6" s="2" t="n">
        <v>0.3033</v>
      </c>
      <c r="G6" s="2" t="n">
        <v>0.2821</v>
      </c>
      <c r="H6" s="2" t="n">
        <v>0.2346</v>
      </c>
      <c r="I6" s="2" t="n">
        <v>0.2931</v>
      </c>
      <c r="J6" s="2" t="n">
        <v>-0.0088</v>
      </c>
      <c r="K6" s="2" t="n">
        <v>-0.2803</v>
      </c>
      <c r="L6" s="2" t="n">
        <v>0.1013</v>
      </c>
      <c r="M6" s="2" t="n">
        <v>-0.16</v>
      </c>
      <c r="N6" s="2" t="n">
        <v>0.6787</v>
      </c>
      <c r="O6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</cols>
  <sheetData>
    <row r="1" customFormat="false" ht="23.85" hidden="false" customHeight="false" outlineLevel="0" collapsed="false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</row>
    <row r="2" customFormat="false" ht="15" hidden="false" customHeight="false" outlineLevel="0" collapsed="false">
      <c r="A2" s="2" t="s">
        <v>93</v>
      </c>
      <c r="B2" s="2" t="s">
        <v>136</v>
      </c>
      <c r="C2" s="2" t="s">
        <v>137</v>
      </c>
      <c r="D2" s="2" t="n">
        <v>1</v>
      </c>
      <c r="E2" s="2" t="n">
        <v>1</v>
      </c>
      <c r="F2" s="2" t="n">
        <v>0.0342</v>
      </c>
    </row>
    <row r="3" customFormat="false" ht="15" hidden="false" customHeight="false" outlineLevel="0" collapsed="false">
      <c r="A3" s="2" t="s">
        <v>93</v>
      </c>
      <c r="B3" s="2" t="s">
        <v>136</v>
      </c>
      <c r="C3" s="2" t="s">
        <v>138</v>
      </c>
      <c r="D3" s="2" t="n">
        <v>4</v>
      </c>
      <c r="E3" s="2" t="n">
        <v>3</v>
      </c>
      <c r="F3" s="2" t="n">
        <v>0.027</v>
      </c>
    </row>
    <row r="4" customFormat="false" ht="15" hidden="false" customHeight="false" outlineLevel="0" collapsed="false">
      <c r="A4" s="2" t="s">
        <v>93</v>
      </c>
      <c r="B4" s="2" t="s">
        <v>136</v>
      </c>
      <c r="C4" s="2" t="s">
        <v>139</v>
      </c>
      <c r="D4" s="2" t="n">
        <v>5</v>
      </c>
      <c r="E4" s="2" t="n">
        <v>4</v>
      </c>
      <c r="F4" s="2" t="n">
        <v>0</v>
      </c>
    </row>
    <row r="5" customFormat="false" ht="15" hidden="false" customHeight="false" outlineLevel="0" collapsed="false">
      <c r="A5" s="2" t="s">
        <v>93</v>
      </c>
      <c r="B5" s="2" t="s">
        <v>136</v>
      </c>
      <c r="C5" s="2" t="s">
        <v>140</v>
      </c>
      <c r="D5" s="2" t="n">
        <v>5</v>
      </c>
      <c r="E5" s="2" t="n">
        <v>3</v>
      </c>
      <c r="F5" s="2" t="n">
        <v>0</v>
      </c>
    </row>
    <row r="6" customFormat="false" ht="15" hidden="false" customHeight="false" outlineLevel="0" collapsed="false">
      <c r="A6" s="2" t="s">
        <v>93</v>
      </c>
      <c r="B6" s="2" t="s">
        <v>136</v>
      </c>
      <c r="C6" s="2" t="s">
        <v>141</v>
      </c>
      <c r="D6" s="2" t="n">
        <v>5</v>
      </c>
      <c r="E6" s="2" t="n">
        <v>4</v>
      </c>
      <c r="F6" s="2" t="n">
        <v>0.0067</v>
      </c>
    </row>
    <row r="7" customFormat="false" ht="15" hidden="false" customHeight="false" outlineLevel="0" collapsed="false">
      <c r="A7" s="2" t="s">
        <v>93</v>
      </c>
      <c r="B7" s="2" t="s">
        <v>136</v>
      </c>
      <c r="C7" s="2" t="s">
        <v>142</v>
      </c>
      <c r="D7" s="2" t="n">
        <v>1</v>
      </c>
      <c r="E7" s="2" t="n">
        <v>1</v>
      </c>
      <c r="F7" s="2" t="n">
        <v>0.0394</v>
      </c>
    </row>
    <row r="8" customFormat="false" ht="15" hidden="false" customHeight="false" outlineLevel="0" collapsed="false">
      <c r="A8" s="2" t="s">
        <v>93</v>
      </c>
      <c r="B8" s="2" t="s">
        <v>136</v>
      </c>
      <c r="C8" s="2" t="s">
        <v>143</v>
      </c>
      <c r="D8" s="2" t="n">
        <v>4</v>
      </c>
      <c r="E8" s="2" t="n">
        <v>3</v>
      </c>
      <c r="F8" s="2" t="n">
        <v>0.0383</v>
      </c>
    </row>
    <row r="9" customFormat="false" ht="15" hidden="false" customHeight="false" outlineLevel="0" collapsed="false">
      <c r="A9" s="2" t="s">
        <v>93</v>
      </c>
      <c r="B9" s="2" t="s">
        <v>136</v>
      </c>
      <c r="C9" s="2" t="s">
        <v>144</v>
      </c>
      <c r="D9" s="2" t="n">
        <v>4</v>
      </c>
      <c r="E9" s="2" t="n">
        <v>3</v>
      </c>
      <c r="F9" s="2" t="n">
        <v>0</v>
      </c>
    </row>
    <row r="10" customFormat="false" ht="15" hidden="false" customHeight="false" outlineLevel="0" collapsed="false">
      <c r="A10" s="2" t="s">
        <v>93</v>
      </c>
      <c r="B10" s="2" t="s">
        <v>136</v>
      </c>
      <c r="C10" s="2" t="s">
        <v>145</v>
      </c>
      <c r="D10" s="2" t="n">
        <v>4</v>
      </c>
      <c r="E10" s="2" t="n">
        <v>3</v>
      </c>
      <c r="F10" s="2" t="n">
        <v>0.0146</v>
      </c>
    </row>
    <row r="11" customFormat="false" ht="15" hidden="false" customHeight="false" outlineLevel="0" collapsed="false">
      <c r="A11" s="2" t="s">
        <v>93</v>
      </c>
      <c r="B11" s="2" t="s">
        <v>136</v>
      </c>
      <c r="C11" s="2" t="s">
        <v>146</v>
      </c>
      <c r="D11" s="2" t="n">
        <v>6</v>
      </c>
      <c r="E11" s="2" t="n">
        <v>4</v>
      </c>
      <c r="F11" s="2" t="n">
        <v>0.0144</v>
      </c>
    </row>
    <row r="12" customFormat="false" ht="15" hidden="false" customHeight="false" outlineLevel="0" collapsed="false">
      <c r="A12" s="2" t="s">
        <v>93</v>
      </c>
      <c r="B12" s="2" t="s">
        <v>136</v>
      </c>
      <c r="C12" s="2" t="s">
        <v>147</v>
      </c>
      <c r="D12" s="2" t="n">
        <v>3</v>
      </c>
      <c r="E12" s="2" t="n">
        <v>3</v>
      </c>
      <c r="F12" s="2" t="n">
        <v>0.1126</v>
      </c>
    </row>
    <row r="13" customFormat="false" ht="15" hidden="false" customHeight="false" outlineLevel="0" collapsed="false">
      <c r="A13" s="2" t="s">
        <v>93</v>
      </c>
      <c r="B13" s="2" t="s">
        <v>136</v>
      </c>
      <c r="C13" s="2" t="s">
        <v>148</v>
      </c>
      <c r="D13" s="2" t="n">
        <v>2</v>
      </c>
      <c r="E13" s="2" t="n">
        <v>2</v>
      </c>
      <c r="F13" s="2" t="n">
        <v>0.087</v>
      </c>
    </row>
    <row r="14" customFormat="false" ht="15" hidden="false" customHeight="false" outlineLevel="0" collapsed="false">
      <c r="A14" s="2" t="s">
        <v>93</v>
      </c>
      <c r="B14" s="2" t="s">
        <v>136</v>
      </c>
      <c r="C14" s="2" t="s">
        <v>149</v>
      </c>
      <c r="D14" s="2" t="n">
        <v>5</v>
      </c>
      <c r="E14" s="2" t="n">
        <v>4</v>
      </c>
      <c r="F14" s="2" t="n">
        <v>0.0263</v>
      </c>
    </row>
    <row r="15" customFormat="false" ht="15" hidden="false" customHeight="false" outlineLevel="0" collapsed="false">
      <c r="A15" s="2" t="s">
        <v>93</v>
      </c>
      <c r="B15" s="2" t="s">
        <v>136</v>
      </c>
      <c r="C15" s="2" t="s">
        <v>150</v>
      </c>
      <c r="D15" s="2" t="n">
        <v>4</v>
      </c>
      <c r="E15" s="2" t="n">
        <v>3</v>
      </c>
      <c r="F15" s="2" t="n">
        <v>0.0034</v>
      </c>
    </row>
    <row r="16" customFormat="false" ht="15" hidden="false" customHeight="false" outlineLevel="0" collapsed="false">
      <c r="A16" s="2" t="s">
        <v>93</v>
      </c>
      <c r="B16" s="2" t="s">
        <v>136</v>
      </c>
      <c r="C16" s="2" t="s">
        <v>151</v>
      </c>
      <c r="D16" s="2" t="n">
        <v>5</v>
      </c>
      <c r="E16" s="2" t="n">
        <v>4</v>
      </c>
      <c r="F16" s="2" t="n">
        <v>0</v>
      </c>
    </row>
    <row r="17" customFormat="false" ht="15" hidden="false" customHeight="false" outlineLevel="0" collapsed="false">
      <c r="A17" s="2" t="s">
        <v>93</v>
      </c>
      <c r="B17" s="2" t="s">
        <v>152</v>
      </c>
      <c r="C17" s="2" t="s">
        <v>153</v>
      </c>
      <c r="D17" s="2" t="n">
        <v>4</v>
      </c>
      <c r="E17" s="2" t="n">
        <v>3</v>
      </c>
      <c r="F17" s="2" t="n">
        <v>0.0859</v>
      </c>
    </row>
    <row r="18" customFormat="false" ht="15" hidden="false" customHeight="false" outlineLevel="0" collapsed="false">
      <c r="A18" s="2" t="s">
        <v>93</v>
      </c>
      <c r="B18" s="2" t="s">
        <v>152</v>
      </c>
      <c r="C18" s="2" t="s">
        <v>154</v>
      </c>
      <c r="D18" s="2" t="n">
        <v>3</v>
      </c>
      <c r="E18" s="2" t="n">
        <v>2</v>
      </c>
      <c r="F18" s="2" t="n">
        <v>0.0414</v>
      </c>
    </row>
    <row r="19" customFormat="false" ht="15" hidden="false" customHeight="false" outlineLevel="0" collapsed="false">
      <c r="A19" s="2" t="s">
        <v>93</v>
      </c>
      <c r="B19" s="2" t="s">
        <v>152</v>
      </c>
      <c r="C19" s="2" t="s">
        <v>155</v>
      </c>
      <c r="D19" s="2" t="n">
        <v>4</v>
      </c>
      <c r="E19" s="2" t="n">
        <v>3</v>
      </c>
      <c r="F19" s="2" t="n">
        <v>0.089</v>
      </c>
    </row>
    <row r="20" customFormat="false" ht="15" hidden="false" customHeight="false" outlineLevel="0" collapsed="false">
      <c r="A20" s="2" t="s">
        <v>93</v>
      </c>
      <c r="B20" s="2" t="s">
        <v>152</v>
      </c>
      <c r="C20" s="2" t="s">
        <v>156</v>
      </c>
      <c r="D20" s="2" t="n">
        <v>5</v>
      </c>
      <c r="E20" s="2" t="n">
        <v>4</v>
      </c>
      <c r="F20" s="2" t="n">
        <v>0.0187</v>
      </c>
    </row>
    <row r="21" customFormat="false" ht="15" hidden="false" customHeight="false" outlineLevel="0" collapsed="false">
      <c r="A21" s="2" t="s">
        <v>93</v>
      </c>
      <c r="B21" s="2" t="s">
        <v>152</v>
      </c>
      <c r="C21" s="2" t="s">
        <v>157</v>
      </c>
      <c r="D21" s="2" t="n">
        <v>2</v>
      </c>
      <c r="E21" s="2" t="n">
        <v>2</v>
      </c>
      <c r="F21" s="2" t="n">
        <v>0.048</v>
      </c>
    </row>
    <row r="22" customFormat="false" ht="15" hidden="false" customHeight="false" outlineLevel="0" collapsed="false">
      <c r="A22" s="2" t="s">
        <v>93</v>
      </c>
      <c r="B22" s="2" t="s">
        <v>152</v>
      </c>
      <c r="C22" s="2" t="s">
        <v>158</v>
      </c>
      <c r="D22" s="2" t="n">
        <v>5</v>
      </c>
      <c r="E22" s="2" t="n">
        <v>4</v>
      </c>
      <c r="F22" s="2" t="n">
        <v>0.0856</v>
      </c>
    </row>
    <row r="23" customFormat="false" ht="15" hidden="false" customHeight="false" outlineLevel="0" collapsed="false">
      <c r="A23" s="2" t="s">
        <v>93</v>
      </c>
      <c r="B23" s="2" t="s">
        <v>152</v>
      </c>
      <c r="C23" s="2" t="s">
        <v>159</v>
      </c>
      <c r="D23" s="2" t="n">
        <v>4</v>
      </c>
      <c r="E23" s="2" t="n">
        <v>3</v>
      </c>
      <c r="F23" s="2" t="n">
        <v>0.0993</v>
      </c>
    </row>
    <row r="24" customFormat="false" ht="15" hidden="false" customHeight="false" outlineLevel="0" collapsed="false">
      <c r="A24" s="2" t="s">
        <v>65</v>
      </c>
      <c r="B24" s="2" t="s">
        <v>136</v>
      </c>
      <c r="C24" s="2" t="s">
        <v>138</v>
      </c>
      <c r="D24" s="2" t="n">
        <v>2</v>
      </c>
      <c r="E24" s="2" t="n">
        <v>1</v>
      </c>
      <c r="F24" s="2" t="n">
        <v>0.2734</v>
      </c>
    </row>
    <row r="25" customFormat="false" ht="15" hidden="false" customHeight="false" outlineLevel="0" collapsed="false">
      <c r="A25" s="2" t="s">
        <v>65</v>
      </c>
      <c r="B25" s="2" t="s">
        <v>136</v>
      </c>
      <c r="C25" s="2" t="s">
        <v>139</v>
      </c>
      <c r="D25" s="2" t="n">
        <v>1</v>
      </c>
      <c r="E25" s="2" t="n">
        <v>1</v>
      </c>
      <c r="F25" s="2" t="n">
        <v>0.3196</v>
      </c>
    </row>
    <row r="26" customFormat="false" ht="15" hidden="false" customHeight="false" outlineLevel="0" collapsed="false">
      <c r="A26" s="2" t="s">
        <v>65</v>
      </c>
      <c r="B26" s="2" t="s">
        <v>136</v>
      </c>
      <c r="C26" s="2" t="s">
        <v>140</v>
      </c>
      <c r="D26" s="2" t="n">
        <v>1</v>
      </c>
      <c r="E26" s="2" t="n">
        <v>1</v>
      </c>
      <c r="F26" s="2" t="n">
        <v>0.2854</v>
      </c>
    </row>
    <row r="27" customFormat="false" ht="15" hidden="false" customHeight="false" outlineLevel="0" collapsed="false">
      <c r="A27" s="2" t="s">
        <v>65</v>
      </c>
      <c r="B27" s="2" t="s">
        <v>136</v>
      </c>
      <c r="C27" s="2" t="s">
        <v>141</v>
      </c>
      <c r="D27" s="2" t="n">
        <v>1</v>
      </c>
      <c r="E27" s="2" t="n">
        <v>1</v>
      </c>
      <c r="F27" s="2" t="n">
        <v>0.2731</v>
      </c>
    </row>
    <row r="28" customFormat="false" ht="15" hidden="false" customHeight="false" outlineLevel="0" collapsed="false">
      <c r="A28" s="2" t="s">
        <v>65</v>
      </c>
      <c r="B28" s="2" t="s">
        <v>136</v>
      </c>
      <c r="C28" s="2" t="s">
        <v>143</v>
      </c>
      <c r="D28" s="2" t="n">
        <v>1</v>
      </c>
      <c r="E28" s="2" t="n">
        <v>1</v>
      </c>
      <c r="F28" s="2" t="n">
        <v>0.2275</v>
      </c>
    </row>
    <row r="29" customFormat="false" ht="15" hidden="false" customHeight="false" outlineLevel="0" collapsed="false">
      <c r="A29" s="2" t="s">
        <v>65</v>
      </c>
      <c r="B29" s="2" t="s">
        <v>136</v>
      </c>
      <c r="C29" s="2" t="s">
        <v>146</v>
      </c>
      <c r="D29" s="2" t="n">
        <v>1</v>
      </c>
      <c r="E29" s="2" t="n">
        <v>1</v>
      </c>
      <c r="F29" s="2" t="n">
        <v>0.3923</v>
      </c>
    </row>
    <row r="30" customFormat="false" ht="15" hidden="false" customHeight="false" outlineLevel="0" collapsed="false">
      <c r="A30" s="2" t="s">
        <v>65</v>
      </c>
      <c r="B30" s="2" t="s">
        <v>136</v>
      </c>
      <c r="C30" s="2" t="s">
        <v>147</v>
      </c>
      <c r="D30" s="2" t="n">
        <v>2</v>
      </c>
      <c r="E30" s="2" t="n">
        <v>1</v>
      </c>
      <c r="F30" s="2" t="n">
        <v>0.0614</v>
      </c>
    </row>
    <row r="31" customFormat="false" ht="15" hidden="false" customHeight="false" outlineLevel="0" collapsed="false">
      <c r="A31" s="2" t="s">
        <v>65</v>
      </c>
      <c r="B31" s="2" t="s">
        <v>136</v>
      </c>
      <c r="C31" s="2" t="s">
        <v>149</v>
      </c>
      <c r="D31" s="2" t="n">
        <v>3</v>
      </c>
      <c r="E31" s="2" t="n">
        <v>2</v>
      </c>
      <c r="F31" s="2" t="n">
        <v>0.1845</v>
      </c>
    </row>
    <row r="32" customFormat="false" ht="15" hidden="false" customHeight="false" outlineLevel="0" collapsed="false">
      <c r="A32" s="2" t="s">
        <v>65</v>
      </c>
      <c r="B32" s="2" t="s">
        <v>136</v>
      </c>
      <c r="C32" s="2" t="s">
        <v>150</v>
      </c>
      <c r="D32" s="2" t="n">
        <v>1</v>
      </c>
      <c r="E32" s="2" t="n">
        <v>1</v>
      </c>
      <c r="F32" s="2" t="n">
        <v>0.3093</v>
      </c>
    </row>
    <row r="33" customFormat="false" ht="15" hidden="false" customHeight="false" outlineLevel="0" collapsed="false">
      <c r="A33" s="2" t="s">
        <v>65</v>
      </c>
      <c r="B33" s="2" t="s">
        <v>136</v>
      </c>
      <c r="C33" s="2" t="s">
        <v>151</v>
      </c>
      <c r="D33" s="2" t="n">
        <v>3</v>
      </c>
      <c r="E33" s="2" t="n">
        <v>2</v>
      </c>
      <c r="F33" s="2" t="n">
        <v>0.1595</v>
      </c>
    </row>
    <row r="34" customFormat="false" ht="15" hidden="false" customHeight="false" outlineLevel="0" collapsed="false">
      <c r="A34" s="2" t="s">
        <v>65</v>
      </c>
      <c r="B34" s="2" t="s">
        <v>152</v>
      </c>
      <c r="C34" s="2" t="s">
        <v>154</v>
      </c>
      <c r="D34" s="2" t="n">
        <v>1</v>
      </c>
      <c r="E34" s="2" t="n">
        <v>1</v>
      </c>
      <c r="F34" s="2" t="n">
        <v>0.2821</v>
      </c>
    </row>
    <row r="35" customFormat="false" ht="15" hidden="false" customHeight="false" outlineLevel="0" collapsed="false">
      <c r="A35" s="2" t="s">
        <v>65</v>
      </c>
      <c r="B35" s="2" t="s">
        <v>152</v>
      </c>
      <c r="C35" s="2" t="s">
        <v>155</v>
      </c>
      <c r="D35" s="2" t="n">
        <v>1</v>
      </c>
      <c r="E35" s="2" t="n">
        <v>1</v>
      </c>
      <c r="F35" s="2" t="n">
        <v>0.5534</v>
      </c>
    </row>
    <row r="36" customFormat="false" ht="15" hidden="false" customHeight="false" outlineLevel="0" collapsed="false">
      <c r="A36" s="2" t="s">
        <v>65</v>
      </c>
      <c r="B36" s="2" t="s">
        <v>152</v>
      </c>
      <c r="C36" s="2" t="s">
        <v>156</v>
      </c>
      <c r="D36" s="2" t="n">
        <v>7</v>
      </c>
      <c r="E36" s="2" t="n">
        <v>2</v>
      </c>
      <c r="F36" s="2" t="n">
        <v>0.2346</v>
      </c>
    </row>
    <row r="37" customFormat="false" ht="15" hidden="false" customHeight="false" outlineLevel="0" collapsed="false">
      <c r="A37" s="2" t="s">
        <v>65</v>
      </c>
      <c r="B37" s="2" t="s">
        <v>152</v>
      </c>
      <c r="C37" s="2" t="s">
        <v>158</v>
      </c>
      <c r="D37" s="2" t="n">
        <v>3</v>
      </c>
      <c r="E37" s="2" t="n">
        <v>2</v>
      </c>
      <c r="F37" s="2" t="n">
        <v>0.1721</v>
      </c>
    </row>
    <row r="38" customFormat="false" ht="15" hidden="false" customHeight="false" outlineLevel="0" collapsed="false">
      <c r="A38" s="2" t="s">
        <v>65</v>
      </c>
      <c r="B38" s="2" t="s">
        <v>152</v>
      </c>
      <c r="C38" s="2" t="s">
        <v>159</v>
      </c>
      <c r="D38" s="2" t="n">
        <v>1</v>
      </c>
      <c r="E38" s="2" t="n">
        <v>1</v>
      </c>
      <c r="F38" s="2" t="n">
        <v>0.2931</v>
      </c>
    </row>
    <row r="39" customFormat="false" ht="15" hidden="false" customHeight="false" outlineLevel="0" collapsed="false">
      <c r="A39" s="2" t="s">
        <v>87</v>
      </c>
      <c r="B39" s="2" t="s">
        <v>136</v>
      </c>
      <c r="C39" s="2" t="s">
        <v>137</v>
      </c>
      <c r="D39" s="2" t="n">
        <v>1</v>
      </c>
      <c r="E39" s="2" t="n">
        <v>1</v>
      </c>
      <c r="F39" s="2" t="n">
        <v>0.4923</v>
      </c>
    </row>
    <row r="40" customFormat="false" ht="15" hidden="false" customHeight="false" outlineLevel="0" collapsed="false">
      <c r="A40" s="2" t="s">
        <v>87</v>
      </c>
      <c r="B40" s="2" t="s">
        <v>136</v>
      </c>
      <c r="C40" s="2" t="s">
        <v>138</v>
      </c>
      <c r="D40" s="2" t="n">
        <v>1</v>
      </c>
      <c r="E40" s="2" t="n">
        <v>1</v>
      </c>
      <c r="F40" s="2" t="n">
        <v>0.562</v>
      </c>
    </row>
    <row r="41" customFormat="false" ht="15" hidden="false" customHeight="false" outlineLevel="0" collapsed="false">
      <c r="A41" s="2" t="s">
        <v>87</v>
      </c>
      <c r="B41" s="2" t="s">
        <v>136</v>
      </c>
      <c r="C41" s="2" t="s">
        <v>139</v>
      </c>
      <c r="D41" s="2" t="n">
        <v>1</v>
      </c>
      <c r="E41" s="2" t="n">
        <v>1</v>
      </c>
      <c r="F41" s="2" t="n">
        <v>0.6228</v>
      </c>
    </row>
    <row r="42" customFormat="false" ht="15" hidden="false" customHeight="false" outlineLevel="0" collapsed="false">
      <c r="A42" s="2" t="s">
        <v>87</v>
      </c>
      <c r="B42" s="2" t="s">
        <v>136</v>
      </c>
      <c r="C42" s="2" t="s">
        <v>140</v>
      </c>
      <c r="D42" s="2" t="n">
        <v>1</v>
      </c>
      <c r="E42" s="2" t="n">
        <v>1</v>
      </c>
      <c r="F42" s="2" t="n">
        <v>0.8135</v>
      </c>
    </row>
    <row r="43" customFormat="false" ht="15" hidden="false" customHeight="false" outlineLevel="0" collapsed="false">
      <c r="A43" s="2" t="s">
        <v>87</v>
      </c>
      <c r="B43" s="2" t="s">
        <v>136</v>
      </c>
      <c r="C43" s="2" t="s">
        <v>141</v>
      </c>
      <c r="D43" s="2" t="n">
        <v>3</v>
      </c>
      <c r="E43" s="2" t="n">
        <v>1</v>
      </c>
      <c r="F43" s="2" t="n">
        <v>0.4769</v>
      </c>
    </row>
    <row r="44" customFormat="false" ht="15" hidden="false" customHeight="false" outlineLevel="0" collapsed="false">
      <c r="A44" s="2" t="s">
        <v>87</v>
      </c>
      <c r="B44" s="2" t="s">
        <v>136</v>
      </c>
      <c r="C44" s="2" t="s">
        <v>142</v>
      </c>
      <c r="D44" s="2" t="n">
        <v>1</v>
      </c>
      <c r="E44" s="2" t="n">
        <v>1</v>
      </c>
      <c r="F44" s="2" t="n">
        <v>0.5197</v>
      </c>
    </row>
    <row r="45" customFormat="false" ht="15" hidden="false" customHeight="false" outlineLevel="0" collapsed="false">
      <c r="A45" s="2" t="s">
        <v>87</v>
      </c>
      <c r="B45" s="2" t="s">
        <v>136</v>
      </c>
      <c r="C45" s="2" t="s">
        <v>143</v>
      </c>
      <c r="D45" s="2" t="n">
        <v>1</v>
      </c>
      <c r="E45" s="2" t="n">
        <v>1</v>
      </c>
      <c r="F45" s="2" t="n">
        <v>0.7986</v>
      </c>
    </row>
    <row r="46" customFormat="false" ht="15" hidden="false" customHeight="false" outlineLevel="0" collapsed="false">
      <c r="A46" s="2" t="s">
        <v>87</v>
      </c>
      <c r="B46" s="2" t="s">
        <v>136</v>
      </c>
      <c r="C46" s="2" t="s">
        <v>144</v>
      </c>
      <c r="D46" s="2" t="n">
        <v>2</v>
      </c>
      <c r="E46" s="2" t="n">
        <v>1</v>
      </c>
      <c r="F46" s="2" t="n">
        <v>0.4579</v>
      </c>
    </row>
    <row r="47" customFormat="false" ht="15" hidden="false" customHeight="false" outlineLevel="0" collapsed="false">
      <c r="A47" s="2" t="s">
        <v>87</v>
      </c>
      <c r="B47" s="2" t="s">
        <v>136</v>
      </c>
      <c r="C47" s="2" t="s">
        <v>145</v>
      </c>
      <c r="D47" s="2" t="n">
        <v>1</v>
      </c>
      <c r="E47" s="2" t="n">
        <v>1</v>
      </c>
      <c r="F47" s="2" t="n">
        <v>0.4384</v>
      </c>
    </row>
    <row r="48" customFormat="false" ht="15" hidden="false" customHeight="false" outlineLevel="0" collapsed="false">
      <c r="A48" s="2" t="s">
        <v>87</v>
      </c>
      <c r="B48" s="2" t="s">
        <v>136</v>
      </c>
      <c r="C48" s="2" t="s">
        <v>160</v>
      </c>
      <c r="D48" s="2" t="n">
        <v>1</v>
      </c>
      <c r="E48" s="2" t="n">
        <v>1</v>
      </c>
      <c r="F48" s="2" t="n">
        <v>0.6246</v>
      </c>
    </row>
    <row r="49" customFormat="false" ht="15" hidden="false" customHeight="false" outlineLevel="0" collapsed="false">
      <c r="A49" s="2" t="s">
        <v>87</v>
      </c>
      <c r="B49" s="2" t="s">
        <v>136</v>
      </c>
      <c r="C49" s="2" t="s">
        <v>146</v>
      </c>
      <c r="D49" s="2" t="n">
        <v>1</v>
      </c>
      <c r="E49" s="2" t="n">
        <v>1</v>
      </c>
      <c r="F49" s="2" t="n">
        <v>0.8162</v>
      </c>
    </row>
    <row r="50" customFormat="false" ht="15" hidden="false" customHeight="false" outlineLevel="0" collapsed="false">
      <c r="A50" s="2" t="s">
        <v>87</v>
      </c>
      <c r="B50" s="2" t="s">
        <v>136</v>
      </c>
      <c r="C50" s="2" t="s">
        <v>147</v>
      </c>
      <c r="D50" s="2" t="n">
        <v>1</v>
      </c>
      <c r="E50" s="2" t="n">
        <v>1</v>
      </c>
      <c r="F50" s="2" t="n">
        <v>0.3759</v>
      </c>
    </row>
    <row r="51" customFormat="false" ht="15" hidden="false" customHeight="false" outlineLevel="0" collapsed="false">
      <c r="A51" s="2" t="s">
        <v>87</v>
      </c>
      <c r="B51" s="2" t="s">
        <v>136</v>
      </c>
      <c r="C51" s="2" t="s">
        <v>148</v>
      </c>
      <c r="D51" s="2" t="n">
        <v>1</v>
      </c>
      <c r="E51" s="2" t="n">
        <v>1</v>
      </c>
      <c r="F51" s="2" t="n">
        <v>0.6419</v>
      </c>
    </row>
    <row r="52" customFormat="false" ht="15" hidden="false" customHeight="false" outlineLevel="0" collapsed="false">
      <c r="A52" s="2" t="s">
        <v>87</v>
      </c>
      <c r="B52" s="2" t="s">
        <v>136</v>
      </c>
      <c r="C52" s="2" t="s">
        <v>149</v>
      </c>
      <c r="D52" s="2" t="n">
        <v>1</v>
      </c>
      <c r="E52" s="2" t="n">
        <v>1</v>
      </c>
      <c r="F52" s="2" t="n">
        <v>0.7547</v>
      </c>
    </row>
    <row r="53" customFormat="false" ht="15" hidden="false" customHeight="false" outlineLevel="0" collapsed="false">
      <c r="A53" s="2" t="s">
        <v>87</v>
      </c>
      <c r="B53" s="2" t="s">
        <v>136</v>
      </c>
      <c r="C53" s="2" t="s">
        <v>150</v>
      </c>
      <c r="D53" s="2" t="n">
        <v>1</v>
      </c>
      <c r="E53" s="2" t="n">
        <v>1</v>
      </c>
      <c r="F53" s="2" t="n">
        <v>0.3521</v>
      </c>
    </row>
    <row r="54" customFormat="false" ht="15" hidden="false" customHeight="false" outlineLevel="0" collapsed="false">
      <c r="A54" s="2" t="s">
        <v>87</v>
      </c>
      <c r="B54" s="2" t="s">
        <v>136</v>
      </c>
      <c r="C54" s="2" t="s">
        <v>151</v>
      </c>
      <c r="D54" s="2" t="n">
        <v>1</v>
      </c>
      <c r="E54" s="2" t="n">
        <v>1</v>
      </c>
      <c r="F54" s="2" t="n">
        <v>0.6925</v>
      </c>
    </row>
    <row r="55" customFormat="false" ht="15" hidden="false" customHeight="false" outlineLevel="0" collapsed="false">
      <c r="A55" s="2" t="s">
        <v>87</v>
      </c>
      <c r="B55" s="2" t="s">
        <v>152</v>
      </c>
      <c r="C55" s="2" t="s">
        <v>153</v>
      </c>
      <c r="D55" s="2" t="n">
        <v>1</v>
      </c>
      <c r="E55" s="2" t="n">
        <v>1</v>
      </c>
      <c r="F55" s="2" t="n">
        <v>0.6313</v>
      </c>
    </row>
    <row r="56" customFormat="false" ht="15" hidden="false" customHeight="false" outlineLevel="0" collapsed="false">
      <c r="A56" s="2" t="s">
        <v>87</v>
      </c>
      <c r="B56" s="2" t="s">
        <v>152</v>
      </c>
      <c r="C56" s="2" t="s">
        <v>154</v>
      </c>
      <c r="D56" s="2" t="n">
        <v>1</v>
      </c>
      <c r="E56" s="2" t="n">
        <v>1</v>
      </c>
      <c r="F56" s="2" t="n">
        <v>0.1857</v>
      </c>
    </row>
    <row r="57" customFormat="false" ht="15" hidden="false" customHeight="false" outlineLevel="0" collapsed="false">
      <c r="A57" s="2" t="s">
        <v>87</v>
      </c>
      <c r="B57" s="2" t="s">
        <v>152</v>
      </c>
      <c r="C57" s="2" t="s">
        <v>155</v>
      </c>
      <c r="D57" s="2" t="n">
        <v>1</v>
      </c>
      <c r="E57" s="2" t="n">
        <v>1</v>
      </c>
      <c r="F57" s="2" t="n">
        <v>0.3837</v>
      </c>
    </row>
    <row r="58" customFormat="false" ht="15" hidden="false" customHeight="false" outlineLevel="0" collapsed="false">
      <c r="A58" s="2" t="s">
        <v>87</v>
      </c>
      <c r="B58" s="2" t="s">
        <v>152</v>
      </c>
      <c r="C58" s="2" t="s">
        <v>156</v>
      </c>
      <c r="D58" s="2" t="n">
        <v>1</v>
      </c>
      <c r="E58" s="2" t="n">
        <v>1</v>
      </c>
      <c r="F58" s="2" t="n">
        <v>0.5253</v>
      </c>
    </row>
    <row r="59" customFormat="false" ht="15" hidden="false" customHeight="false" outlineLevel="0" collapsed="false">
      <c r="A59" s="2" t="s">
        <v>87</v>
      </c>
      <c r="B59" s="2" t="s">
        <v>152</v>
      </c>
      <c r="C59" s="2" t="s">
        <v>158</v>
      </c>
      <c r="D59" s="2" t="n">
        <v>2</v>
      </c>
      <c r="E59" s="2" t="n">
        <v>1</v>
      </c>
      <c r="F59" s="2" t="n">
        <v>0.6316</v>
      </c>
    </row>
    <row r="60" customFormat="false" ht="15" hidden="false" customHeight="false" outlineLevel="0" collapsed="false">
      <c r="A60" s="2" t="s">
        <v>102</v>
      </c>
      <c r="B60" s="2" t="s">
        <v>136</v>
      </c>
      <c r="C60" s="2" t="s">
        <v>137</v>
      </c>
      <c r="D60" s="2" t="n">
        <v>2</v>
      </c>
      <c r="E60" s="2" t="n">
        <v>2</v>
      </c>
      <c r="F60" s="2" t="n">
        <v>0.0664</v>
      </c>
    </row>
    <row r="61" customFormat="false" ht="15" hidden="false" customHeight="false" outlineLevel="0" collapsed="false">
      <c r="A61" s="2" t="s">
        <v>102</v>
      </c>
      <c r="B61" s="2" t="s">
        <v>136</v>
      </c>
      <c r="C61" s="2" t="s">
        <v>138</v>
      </c>
      <c r="D61" s="2" t="n">
        <v>3</v>
      </c>
      <c r="E61" s="2" t="n">
        <v>3</v>
      </c>
      <c r="F61" s="2" t="n">
        <v>0</v>
      </c>
    </row>
    <row r="62" customFormat="false" ht="15" hidden="false" customHeight="false" outlineLevel="0" collapsed="false">
      <c r="A62" s="2" t="s">
        <v>102</v>
      </c>
      <c r="B62" s="2" t="s">
        <v>136</v>
      </c>
      <c r="C62" s="2" t="s">
        <v>139</v>
      </c>
      <c r="D62" s="2" t="n">
        <v>3</v>
      </c>
      <c r="E62" s="2" t="n">
        <v>3</v>
      </c>
      <c r="F62" s="2" t="n">
        <v>0.0967</v>
      </c>
    </row>
    <row r="63" customFormat="false" ht="15" hidden="false" customHeight="false" outlineLevel="0" collapsed="false">
      <c r="A63" s="2" t="s">
        <v>102</v>
      </c>
      <c r="B63" s="2" t="s">
        <v>136</v>
      </c>
      <c r="C63" s="2" t="s">
        <v>140</v>
      </c>
      <c r="D63" s="2" t="n">
        <v>4</v>
      </c>
      <c r="E63" s="2" t="n">
        <v>3</v>
      </c>
      <c r="F63" s="2" t="n">
        <v>0.0315</v>
      </c>
    </row>
    <row r="64" customFormat="false" ht="15" hidden="false" customHeight="false" outlineLevel="0" collapsed="false">
      <c r="A64" s="2" t="s">
        <v>102</v>
      </c>
      <c r="B64" s="2" t="s">
        <v>136</v>
      </c>
      <c r="C64" s="2" t="s">
        <v>141</v>
      </c>
      <c r="D64" s="2" t="n">
        <v>4</v>
      </c>
      <c r="E64" s="2" t="n">
        <v>3</v>
      </c>
      <c r="F64" s="2" t="n">
        <v>0.0246</v>
      </c>
    </row>
    <row r="65" customFormat="false" ht="15" hidden="false" customHeight="false" outlineLevel="0" collapsed="false">
      <c r="A65" s="2" t="s">
        <v>102</v>
      </c>
      <c r="B65" s="2" t="s">
        <v>136</v>
      </c>
      <c r="C65" s="2" t="s">
        <v>142</v>
      </c>
      <c r="D65" s="2" t="n">
        <v>1</v>
      </c>
      <c r="E65" s="2" t="n">
        <v>1</v>
      </c>
      <c r="F65" s="2" t="n">
        <v>0</v>
      </c>
    </row>
    <row r="66" customFormat="false" ht="15" hidden="false" customHeight="false" outlineLevel="0" collapsed="false">
      <c r="A66" s="2" t="s">
        <v>102</v>
      </c>
      <c r="B66" s="2" t="s">
        <v>136</v>
      </c>
      <c r="C66" s="2" t="s">
        <v>143</v>
      </c>
      <c r="D66" s="2" t="n">
        <v>2</v>
      </c>
      <c r="E66" s="2" t="n">
        <v>2</v>
      </c>
      <c r="F66" s="2" t="n">
        <v>0.0221</v>
      </c>
    </row>
    <row r="67" customFormat="false" ht="15" hidden="false" customHeight="false" outlineLevel="0" collapsed="false">
      <c r="A67" s="2" t="s">
        <v>102</v>
      </c>
      <c r="B67" s="2" t="s">
        <v>136</v>
      </c>
      <c r="C67" s="2" t="s">
        <v>144</v>
      </c>
      <c r="D67" s="2" t="n">
        <v>4</v>
      </c>
      <c r="E67" s="2" t="n">
        <v>3</v>
      </c>
      <c r="F67" s="2" t="n">
        <v>0.0115</v>
      </c>
    </row>
    <row r="68" customFormat="false" ht="15" hidden="false" customHeight="false" outlineLevel="0" collapsed="false">
      <c r="A68" s="2" t="s">
        <v>102</v>
      </c>
      <c r="B68" s="2" t="s">
        <v>136</v>
      </c>
      <c r="C68" s="2" t="s">
        <v>145</v>
      </c>
      <c r="D68" s="2" t="n">
        <v>2</v>
      </c>
      <c r="E68" s="2" t="n">
        <v>2</v>
      </c>
      <c r="F68" s="2" t="n">
        <v>0</v>
      </c>
    </row>
    <row r="69" customFormat="false" ht="15" hidden="false" customHeight="false" outlineLevel="0" collapsed="false">
      <c r="A69" s="2" t="s">
        <v>102</v>
      </c>
      <c r="B69" s="2" t="s">
        <v>136</v>
      </c>
      <c r="C69" s="2" t="s">
        <v>160</v>
      </c>
      <c r="D69" s="2" t="n">
        <v>1</v>
      </c>
      <c r="E69" s="2" t="n">
        <v>1</v>
      </c>
      <c r="F69" s="2" t="n">
        <v>0.0813</v>
      </c>
    </row>
    <row r="70" customFormat="false" ht="15" hidden="false" customHeight="false" outlineLevel="0" collapsed="false">
      <c r="A70" s="2" t="s">
        <v>102</v>
      </c>
      <c r="B70" s="2" t="s">
        <v>136</v>
      </c>
      <c r="C70" s="2" t="s">
        <v>146</v>
      </c>
      <c r="D70" s="2" t="n">
        <v>3</v>
      </c>
      <c r="E70" s="2" t="n">
        <v>3</v>
      </c>
      <c r="F70" s="2" t="n">
        <v>0</v>
      </c>
    </row>
    <row r="71" customFormat="false" ht="15" hidden="false" customHeight="false" outlineLevel="0" collapsed="false">
      <c r="A71" s="2" t="s">
        <v>102</v>
      </c>
      <c r="B71" s="2" t="s">
        <v>136</v>
      </c>
      <c r="C71" s="2" t="s">
        <v>147</v>
      </c>
      <c r="D71" s="2" t="n">
        <v>3</v>
      </c>
      <c r="E71" s="2" t="n">
        <v>2</v>
      </c>
      <c r="F71" s="2" t="n">
        <v>0.2317</v>
      </c>
    </row>
    <row r="72" customFormat="false" ht="15" hidden="false" customHeight="false" outlineLevel="0" collapsed="false">
      <c r="A72" s="2" t="s">
        <v>102</v>
      </c>
      <c r="B72" s="2" t="s">
        <v>136</v>
      </c>
      <c r="C72" s="2" t="s">
        <v>148</v>
      </c>
      <c r="D72" s="2" t="n">
        <v>1</v>
      </c>
      <c r="E72" s="2" t="n">
        <v>1</v>
      </c>
      <c r="F72" s="2" t="n">
        <v>0.1788</v>
      </c>
    </row>
    <row r="73" customFormat="false" ht="15" hidden="false" customHeight="false" outlineLevel="0" collapsed="false">
      <c r="A73" s="2" t="s">
        <v>102</v>
      </c>
      <c r="B73" s="2" t="s">
        <v>136</v>
      </c>
      <c r="C73" s="2" t="s">
        <v>149</v>
      </c>
      <c r="D73" s="2" t="n">
        <v>3</v>
      </c>
      <c r="E73" s="2" t="n">
        <v>3</v>
      </c>
      <c r="F73" s="2" t="n">
        <v>0.1053</v>
      </c>
    </row>
    <row r="74" customFormat="false" ht="15" hidden="false" customHeight="false" outlineLevel="0" collapsed="false">
      <c r="A74" s="2" t="s">
        <v>102</v>
      </c>
      <c r="B74" s="2" t="s">
        <v>136</v>
      </c>
      <c r="C74" s="2" t="s">
        <v>150</v>
      </c>
      <c r="D74" s="2" t="n">
        <v>2</v>
      </c>
      <c r="E74" s="2" t="n">
        <v>2</v>
      </c>
      <c r="F74" s="2" t="n">
        <v>0.035</v>
      </c>
    </row>
    <row r="75" customFormat="false" ht="15" hidden="false" customHeight="false" outlineLevel="0" collapsed="false">
      <c r="A75" s="2" t="s">
        <v>102</v>
      </c>
      <c r="B75" s="2" t="s">
        <v>136</v>
      </c>
      <c r="C75" s="2" t="s">
        <v>151</v>
      </c>
      <c r="D75" s="2" t="n">
        <v>3</v>
      </c>
      <c r="E75" s="2" t="n">
        <v>3</v>
      </c>
      <c r="F75" s="2" t="n">
        <v>0.0034</v>
      </c>
    </row>
    <row r="76" customFormat="false" ht="15" hidden="false" customHeight="false" outlineLevel="0" collapsed="false">
      <c r="A76" s="2" t="s">
        <v>102</v>
      </c>
      <c r="B76" s="2" t="s">
        <v>152</v>
      </c>
      <c r="C76" s="2" t="s">
        <v>153</v>
      </c>
      <c r="D76" s="2" t="n">
        <v>2</v>
      </c>
      <c r="E76" s="2" t="n">
        <v>2</v>
      </c>
      <c r="F76" s="2" t="n">
        <v>0.1629</v>
      </c>
    </row>
    <row r="77" customFormat="false" ht="15" hidden="false" customHeight="false" outlineLevel="0" collapsed="false">
      <c r="A77" s="2" t="s">
        <v>102</v>
      </c>
      <c r="B77" s="2" t="s">
        <v>152</v>
      </c>
      <c r="C77" s="2" t="s">
        <v>154</v>
      </c>
      <c r="D77" s="2" t="n">
        <v>2</v>
      </c>
      <c r="E77" s="2" t="n">
        <v>2</v>
      </c>
      <c r="F77" s="2" t="n">
        <v>0.1326</v>
      </c>
    </row>
    <row r="78" customFormat="false" ht="15" hidden="false" customHeight="false" outlineLevel="0" collapsed="false">
      <c r="A78" s="2" t="s">
        <v>102</v>
      </c>
      <c r="B78" s="2" t="s">
        <v>152</v>
      </c>
      <c r="C78" s="2" t="s">
        <v>155</v>
      </c>
      <c r="D78" s="2" t="n">
        <v>2</v>
      </c>
      <c r="E78" s="2" t="n">
        <v>2</v>
      </c>
      <c r="F78" s="2" t="n">
        <v>0.2148</v>
      </c>
    </row>
    <row r="79" customFormat="false" ht="15" hidden="false" customHeight="false" outlineLevel="0" collapsed="false">
      <c r="A79" s="2" t="s">
        <v>102</v>
      </c>
      <c r="B79" s="2" t="s">
        <v>152</v>
      </c>
      <c r="C79" s="2" t="s">
        <v>156</v>
      </c>
      <c r="D79" s="2" t="n">
        <v>3</v>
      </c>
      <c r="E79" s="2" t="n">
        <v>3</v>
      </c>
      <c r="F79" s="2" t="n">
        <v>0.1509</v>
      </c>
    </row>
    <row r="80" customFormat="false" ht="15" hidden="false" customHeight="false" outlineLevel="0" collapsed="false">
      <c r="A80" s="2" t="s">
        <v>102</v>
      </c>
      <c r="B80" s="2" t="s">
        <v>152</v>
      </c>
      <c r="C80" s="2" t="s">
        <v>157</v>
      </c>
      <c r="D80" s="2" t="n">
        <v>2</v>
      </c>
      <c r="E80" s="2" t="n">
        <v>2</v>
      </c>
      <c r="F80" s="2" t="n">
        <v>0.191</v>
      </c>
    </row>
    <row r="81" customFormat="false" ht="15" hidden="false" customHeight="false" outlineLevel="0" collapsed="false">
      <c r="A81" s="2" t="s">
        <v>102</v>
      </c>
      <c r="B81" s="2" t="s">
        <v>152</v>
      </c>
      <c r="C81" s="2" t="s">
        <v>158</v>
      </c>
      <c r="D81" s="2" t="n">
        <v>3</v>
      </c>
      <c r="E81" s="2" t="n">
        <v>3</v>
      </c>
      <c r="F81" s="2" t="n">
        <v>0.0875</v>
      </c>
    </row>
    <row r="82" customFormat="false" ht="15" hidden="false" customHeight="false" outlineLevel="0" collapsed="false">
      <c r="A82" s="2" t="s">
        <v>102</v>
      </c>
      <c r="B82" s="2" t="s">
        <v>152</v>
      </c>
      <c r="C82" s="2" t="s">
        <v>159</v>
      </c>
      <c r="D82" s="2" t="n">
        <v>2</v>
      </c>
      <c r="E82" s="2" t="n">
        <v>2</v>
      </c>
      <c r="F82" s="2" t="n">
        <v>0.1006</v>
      </c>
    </row>
    <row r="83" customFormat="false" ht="15" hidden="false" customHeight="false" outlineLevel="0" collapsed="false">
      <c r="A83" s="2" t="s">
        <v>129</v>
      </c>
      <c r="B83" s="2" t="s">
        <v>136</v>
      </c>
      <c r="C83" s="2" t="s">
        <v>137</v>
      </c>
      <c r="D83" s="2" t="n">
        <v>3</v>
      </c>
      <c r="E83" s="2" t="n">
        <v>3</v>
      </c>
      <c r="F83" s="2" t="n">
        <v>0.1568</v>
      </c>
    </row>
    <row r="84" customFormat="false" ht="15" hidden="false" customHeight="false" outlineLevel="0" collapsed="false">
      <c r="A84" s="2" t="s">
        <v>129</v>
      </c>
      <c r="B84" s="2" t="s">
        <v>136</v>
      </c>
      <c r="C84" s="2" t="s">
        <v>138</v>
      </c>
      <c r="D84" s="2" t="n">
        <v>16</v>
      </c>
      <c r="E84" s="2" t="n">
        <v>5</v>
      </c>
      <c r="F84" s="2" t="n">
        <v>0.4115</v>
      </c>
    </row>
    <row r="85" customFormat="false" ht="15" hidden="false" customHeight="false" outlineLevel="0" collapsed="false">
      <c r="A85" s="2" t="s">
        <v>129</v>
      </c>
      <c r="B85" s="2" t="s">
        <v>136</v>
      </c>
      <c r="C85" s="2" t="s">
        <v>139</v>
      </c>
      <c r="D85" s="2" t="n">
        <v>4</v>
      </c>
      <c r="E85" s="2" t="n">
        <v>4</v>
      </c>
      <c r="F85" s="2" t="n">
        <v>0.2519</v>
      </c>
    </row>
    <row r="86" customFormat="false" ht="15" hidden="false" customHeight="false" outlineLevel="0" collapsed="false">
      <c r="A86" s="2" t="s">
        <v>129</v>
      </c>
      <c r="B86" s="2" t="s">
        <v>136</v>
      </c>
      <c r="C86" s="2" t="s">
        <v>140</v>
      </c>
      <c r="D86" s="2" t="n">
        <v>5</v>
      </c>
      <c r="E86" s="2" t="n">
        <v>4</v>
      </c>
      <c r="F86" s="2" t="n">
        <v>0.5211</v>
      </c>
    </row>
    <row r="87" customFormat="false" ht="15" hidden="false" customHeight="false" outlineLevel="0" collapsed="false">
      <c r="A87" s="2" t="s">
        <v>129</v>
      </c>
      <c r="B87" s="2" t="s">
        <v>136</v>
      </c>
      <c r="C87" s="2" t="s">
        <v>141</v>
      </c>
      <c r="D87" s="2" t="n">
        <v>4</v>
      </c>
      <c r="E87" s="2" t="n">
        <v>4</v>
      </c>
      <c r="F87" s="2" t="n">
        <v>0.1877</v>
      </c>
    </row>
    <row r="88" customFormat="false" ht="15" hidden="false" customHeight="false" outlineLevel="0" collapsed="false">
      <c r="A88" s="2" t="s">
        <v>129</v>
      </c>
      <c r="B88" s="2" t="s">
        <v>136</v>
      </c>
      <c r="C88" s="2" t="s">
        <v>142</v>
      </c>
      <c r="D88" s="2" t="n">
        <v>2</v>
      </c>
      <c r="E88" s="2" t="n">
        <v>2</v>
      </c>
      <c r="F88" s="2" t="n">
        <v>0.489</v>
      </c>
    </row>
    <row r="89" customFormat="false" ht="15" hidden="false" customHeight="false" outlineLevel="0" collapsed="false">
      <c r="A89" s="2" t="s">
        <v>129</v>
      </c>
      <c r="B89" s="2" t="s">
        <v>136</v>
      </c>
      <c r="C89" s="2" t="s">
        <v>143</v>
      </c>
      <c r="D89" s="2" t="n">
        <v>4</v>
      </c>
      <c r="E89" s="2" t="n">
        <v>4</v>
      </c>
      <c r="F89" s="2" t="n">
        <v>0.6019</v>
      </c>
    </row>
    <row r="90" customFormat="false" ht="15" hidden="false" customHeight="false" outlineLevel="0" collapsed="false">
      <c r="A90" s="2" t="s">
        <v>129</v>
      </c>
      <c r="B90" s="2" t="s">
        <v>136</v>
      </c>
      <c r="C90" s="2" t="s">
        <v>144</v>
      </c>
      <c r="D90" s="2" t="n">
        <v>4</v>
      </c>
      <c r="E90" s="2" t="n">
        <v>4</v>
      </c>
      <c r="F90" s="2" t="n">
        <v>0.053</v>
      </c>
    </row>
    <row r="91" customFormat="false" ht="15" hidden="false" customHeight="false" outlineLevel="0" collapsed="false">
      <c r="A91" s="2" t="s">
        <v>129</v>
      </c>
      <c r="B91" s="2" t="s">
        <v>136</v>
      </c>
      <c r="C91" s="2" t="s">
        <v>145</v>
      </c>
      <c r="D91" s="2" t="n">
        <v>4</v>
      </c>
      <c r="E91" s="2" t="n">
        <v>4</v>
      </c>
      <c r="F91" s="2" t="n">
        <v>0.4332</v>
      </c>
    </row>
    <row r="92" customFormat="false" ht="15" hidden="false" customHeight="false" outlineLevel="0" collapsed="false">
      <c r="A92" s="2" t="s">
        <v>129</v>
      </c>
      <c r="B92" s="2" t="s">
        <v>136</v>
      </c>
      <c r="C92" s="2" t="s">
        <v>160</v>
      </c>
      <c r="D92" s="2" t="n">
        <v>1</v>
      </c>
      <c r="E92" s="2" t="n">
        <v>1</v>
      </c>
      <c r="F92" s="2" t="n">
        <v>0.2881</v>
      </c>
    </row>
    <row r="93" customFormat="false" ht="15" hidden="false" customHeight="false" outlineLevel="0" collapsed="false">
      <c r="A93" s="2" t="s">
        <v>129</v>
      </c>
      <c r="B93" s="2" t="s">
        <v>136</v>
      </c>
      <c r="C93" s="2" t="s">
        <v>146</v>
      </c>
      <c r="D93" s="2" t="n">
        <v>3</v>
      </c>
      <c r="E93" s="2" t="n">
        <v>3</v>
      </c>
      <c r="F93" s="2" t="n">
        <v>0.2212</v>
      </c>
    </row>
    <row r="94" customFormat="false" ht="15" hidden="false" customHeight="false" outlineLevel="0" collapsed="false">
      <c r="A94" s="2" t="s">
        <v>129</v>
      </c>
      <c r="B94" s="2" t="s">
        <v>136</v>
      </c>
      <c r="C94" s="2" t="s">
        <v>147</v>
      </c>
      <c r="D94" s="2" t="n">
        <v>22</v>
      </c>
      <c r="E94" s="2" t="n">
        <v>4</v>
      </c>
      <c r="F94" s="2" t="n">
        <v>0.4168</v>
      </c>
    </row>
    <row r="95" customFormat="false" ht="15" hidden="false" customHeight="false" outlineLevel="0" collapsed="false">
      <c r="A95" s="2" t="s">
        <v>129</v>
      </c>
      <c r="B95" s="2" t="s">
        <v>136</v>
      </c>
      <c r="C95" s="2" t="s">
        <v>148</v>
      </c>
      <c r="D95" s="2" t="n">
        <v>3</v>
      </c>
      <c r="E95" s="2" t="n">
        <v>3</v>
      </c>
      <c r="F95" s="2" t="n">
        <v>0.4482</v>
      </c>
    </row>
    <row r="96" customFormat="false" ht="15" hidden="false" customHeight="false" outlineLevel="0" collapsed="false">
      <c r="A96" s="2" t="s">
        <v>129</v>
      </c>
      <c r="B96" s="2" t="s">
        <v>136</v>
      </c>
      <c r="C96" s="2" t="s">
        <v>149</v>
      </c>
      <c r="D96" s="2" t="n">
        <v>22</v>
      </c>
      <c r="E96" s="2" t="n">
        <v>5</v>
      </c>
      <c r="F96" s="2" t="n">
        <v>0.5669</v>
      </c>
    </row>
    <row r="97" customFormat="false" ht="15" hidden="false" customHeight="false" outlineLevel="0" collapsed="false">
      <c r="A97" s="2" t="s">
        <v>129</v>
      </c>
      <c r="B97" s="2" t="s">
        <v>136</v>
      </c>
      <c r="C97" s="2" t="s">
        <v>150</v>
      </c>
      <c r="D97" s="2" t="n">
        <v>3</v>
      </c>
      <c r="E97" s="2" t="n">
        <v>3</v>
      </c>
      <c r="F97" s="2" t="n">
        <v>0.3804</v>
      </c>
    </row>
    <row r="98" customFormat="false" ht="15" hidden="false" customHeight="false" outlineLevel="0" collapsed="false">
      <c r="A98" s="2" t="s">
        <v>129</v>
      </c>
      <c r="B98" s="2" t="s">
        <v>136</v>
      </c>
      <c r="C98" s="2" t="s">
        <v>151</v>
      </c>
      <c r="D98" s="2" t="n">
        <v>6</v>
      </c>
      <c r="E98" s="2" t="n">
        <v>5</v>
      </c>
      <c r="F98" s="2" t="n">
        <v>0.5801</v>
      </c>
    </row>
    <row r="99" customFormat="false" ht="15" hidden="false" customHeight="false" outlineLevel="0" collapsed="false">
      <c r="A99" s="2" t="s">
        <v>129</v>
      </c>
      <c r="B99" s="2" t="s">
        <v>152</v>
      </c>
      <c r="C99" s="2" t="s">
        <v>153</v>
      </c>
      <c r="D99" s="2" t="n">
        <v>4</v>
      </c>
      <c r="E99" s="2" t="n">
        <v>4</v>
      </c>
      <c r="F99" s="2" t="n">
        <v>0.2099</v>
      </c>
    </row>
    <row r="100" customFormat="false" ht="15" hidden="false" customHeight="false" outlineLevel="0" collapsed="false">
      <c r="A100" s="2" t="s">
        <v>129</v>
      </c>
      <c r="B100" s="2" t="s">
        <v>152</v>
      </c>
      <c r="C100" s="2" t="s">
        <v>154</v>
      </c>
      <c r="D100" s="2" t="n">
        <v>4</v>
      </c>
      <c r="E100" s="2" t="n">
        <v>4</v>
      </c>
      <c r="F100" s="2" t="n">
        <v>0.228</v>
      </c>
    </row>
    <row r="101" customFormat="false" ht="15" hidden="false" customHeight="false" outlineLevel="0" collapsed="false">
      <c r="A101" s="2" t="s">
        <v>129</v>
      </c>
      <c r="B101" s="2" t="s">
        <v>152</v>
      </c>
      <c r="C101" s="2" t="s">
        <v>155</v>
      </c>
      <c r="D101" s="2" t="n">
        <v>3</v>
      </c>
      <c r="E101" s="2" t="n">
        <v>3</v>
      </c>
      <c r="F101" s="2" t="n">
        <v>0.1102</v>
      </c>
    </row>
    <row r="102" customFormat="false" ht="15" hidden="false" customHeight="false" outlineLevel="0" collapsed="false">
      <c r="A102" s="2" t="s">
        <v>129</v>
      </c>
      <c r="B102" s="2" t="s">
        <v>152</v>
      </c>
      <c r="C102" s="2" t="s">
        <v>156</v>
      </c>
      <c r="D102" s="2" t="n">
        <v>46</v>
      </c>
      <c r="E102" s="2" t="n">
        <v>5</v>
      </c>
      <c r="F102" s="2" t="n">
        <v>0.7277</v>
      </c>
    </row>
    <row r="103" customFormat="false" ht="15" hidden="false" customHeight="false" outlineLevel="0" collapsed="false">
      <c r="A103" s="2" t="s">
        <v>129</v>
      </c>
      <c r="B103" s="2" t="s">
        <v>152</v>
      </c>
      <c r="C103" s="2" t="s">
        <v>157</v>
      </c>
      <c r="D103" s="2" t="n">
        <v>2</v>
      </c>
      <c r="E103" s="2" t="n">
        <v>2</v>
      </c>
      <c r="F103" s="2" t="n">
        <v>0.3823</v>
      </c>
    </row>
    <row r="104" customFormat="false" ht="15" hidden="false" customHeight="false" outlineLevel="0" collapsed="false">
      <c r="A104" s="2" t="s">
        <v>129</v>
      </c>
      <c r="B104" s="2" t="s">
        <v>152</v>
      </c>
      <c r="C104" s="2" t="s">
        <v>158</v>
      </c>
      <c r="D104" s="2" t="n">
        <v>20</v>
      </c>
      <c r="E104" s="2" t="n">
        <v>5</v>
      </c>
      <c r="F104" s="2" t="n">
        <v>0.1991</v>
      </c>
    </row>
    <row r="105" customFormat="false" ht="15" hidden="false" customHeight="false" outlineLevel="0" collapsed="false">
      <c r="A105" s="2" t="s">
        <v>129</v>
      </c>
      <c r="B105" s="2" t="s">
        <v>152</v>
      </c>
      <c r="C105" s="2" t="s">
        <v>159</v>
      </c>
      <c r="D105" s="2" t="n">
        <v>2</v>
      </c>
      <c r="E105" s="2" t="n">
        <v>2</v>
      </c>
      <c r="F105" s="2" t="n">
        <v>0.5203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2026-10-06T09:32:04Z</dcterms:created>
  <dc:creator>openpyxl</dc:creator>
  <dc:description/>
  <dc:language>en-US</dc:language>
  <cp:lastModifiedBy/>
  <dcterms:modified xsi:type="dcterms:W3CDTF">2026-10-06T09:32:04Z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